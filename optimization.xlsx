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thi\dtvc_tutorial\IndividualAssignment\"/>
    </mc:Choice>
  </mc:AlternateContent>
  <xr:revisionPtr revIDLastSave="0" documentId="13_ncr:1_{CE5488C8-4F6C-4AC4-BD66-50FDF716EC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roups" sheetId="1" r:id="rId1"/>
    <sheet name="Departments" sheetId="2" r:id="rId2"/>
    <sheet name="Constraints" sheetId="3" r:id="rId3"/>
  </sheets>
  <definedNames>
    <definedName name="solver_adj" localSheetId="0" hidden="1">Groups!$L$2:$L$21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Groups!$B$30</definedName>
    <definedName name="solver_lhs2" localSheetId="0" hidden="1">Groups!$B$31</definedName>
    <definedName name="solver_lhs3" localSheetId="0" hidden="1">Groups!$B$33</definedName>
    <definedName name="solver_lhs4" localSheetId="0" hidden="1">Groups!$B$34</definedName>
    <definedName name="solver_lhs5" localSheetId="0" hidden="1">Groups!$B$35</definedName>
    <definedName name="solver_lhs6" localSheetId="0" hidden="1">Groups!$L$2:$L$21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Groups!$B$26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5</definedName>
    <definedName name="solver_rhs1" localSheetId="0" hidden="1">40</definedName>
    <definedName name="solver_rhs2" localSheetId="0" hidden="1">3000000</definedName>
    <definedName name="solver_rhs3" localSheetId="0" hidden="1">18</definedName>
    <definedName name="solver_rhs4" localSheetId="0" hidden="1">135</definedName>
    <definedName name="solver_rhs5" localSheetId="0" hidden="1">285</definedName>
    <definedName name="solver_rhs6" localSheetId="0" hidden="1">"binary"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</workbook>
</file>

<file path=xl/calcChain.xml><?xml version="1.0" encoding="utf-8"?>
<calcChain xmlns="http://schemas.openxmlformats.org/spreadsheetml/2006/main">
  <c r="B30" i="1" l="1"/>
  <c r="B35" i="1"/>
  <c r="B33" i="1"/>
  <c r="B31" i="1"/>
  <c r="B26" i="1"/>
  <c r="C22" i="1"/>
</calcChain>
</file>

<file path=xl/sharedStrings.xml><?xml version="1.0" encoding="utf-8"?>
<sst xmlns="http://schemas.openxmlformats.org/spreadsheetml/2006/main" count="89" uniqueCount="81">
  <si>
    <t>Strategic_Group_ID</t>
  </si>
  <si>
    <t>Group_Description</t>
  </si>
  <si>
    <t>Number_of_Employees</t>
  </si>
  <si>
    <t>Avg_Attrition_Probability</t>
  </si>
  <si>
    <t>Avg_Monthly_Income</t>
  </si>
  <si>
    <t>Total_Monthly_Income</t>
  </si>
  <si>
    <t>Expected_Leavers</t>
  </si>
  <si>
    <t>Expected_Annual_Savings</t>
  </si>
  <si>
    <t>%_Human Resources</t>
  </si>
  <si>
    <t>%_Research &amp; Development</t>
  </si>
  <si>
    <t>%_Sales</t>
  </si>
  <si>
    <t>RCC_Offered</t>
  </si>
  <si>
    <t>Expected_RCC_Cost</t>
  </si>
  <si>
    <t>G2</t>
  </si>
  <si>
    <t>G17</t>
  </si>
  <si>
    <t>G18</t>
  </si>
  <si>
    <t>G3</t>
  </si>
  <si>
    <t>G6</t>
  </si>
  <si>
    <t>G5</t>
  </si>
  <si>
    <t>G7</t>
  </si>
  <si>
    <t>G9</t>
  </si>
  <si>
    <t>G20</t>
  </si>
  <si>
    <t>G13</t>
  </si>
  <si>
    <t>G8</t>
  </si>
  <si>
    <t>G11</t>
  </si>
  <si>
    <t>G10</t>
  </si>
  <si>
    <t>G19</t>
  </si>
  <si>
    <t>G12</t>
  </si>
  <si>
    <t>G15</t>
  </si>
  <si>
    <t>G14</t>
  </si>
  <si>
    <t>G1</t>
  </si>
  <si>
    <t>G16</t>
  </si>
  <si>
    <t>G4</t>
  </si>
  <si>
    <t>High-Mobility Overtime | R&amp;D New | High Satisfaction</t>
  </si>
  <si>
    <t>Low-Mobility Standard | R&amp;D Established</t>
  </si>
  <si>
    <t>Low-Mobility Standard | R&amp;D New</t>
  </si>
  <si>
    <t>High-Mobility Overtime | Sales New | High Satisfaction</t>
  </si>
  <si>
    <t>High-Mobility Standard | R&amp;D New</t>
  </si>
  <si>
    <t>High-Mobility Standard | R&amp;D Established</t>
  </si>
  <si>
    <t>High-Mobility Standard | Sales Established</t>
  </si>
  <si>
    <t>Low-Mobility Overtime | R&amp;D Established | High Satisfaction</t>
  </si>
  <si>
    <t>Low-Mobility Standard | Sales New</t>
  </si>
  <si>
    <t>Low-Mobility Overtime | Sales Established | High Satisfaction</t>
  </si>
  <si>
    <t>High-Mobility Standard | Sales New</t>
  </si>
  <si>
    <t>Low-Mobility Overtime | R&amp;D New | High Satisfaction</t>
  </si>
  <si>
    <t>Low-Mobility Overtime | R&amp;D Established | Low Satisfaction</t>
  </si>
  <si>
    <t>Low-Mobility Standard | Sales Established</t>
  </si>
  <si>
    <t>Low-Mobility Overtime | R&amp;D New | Low Satisfaction</t>
  </si>
  <si>
    <t>Low-Mobility Overtime | Sales New | High Satisfaction</t>
  </si>
  <si>
    <t>Low-Mobility Overtime | Sales Established | Low Satisfaction</t>
  </si>
  <si>
    <t>High-Mobility Overtime | R&amp;D Established | High Satisfaction</t>
  </si>
  <si>
    <t>Low-Mobility Standard | HR</t>
  </si>
  <si>
    <t>High-Mobility Standard | HR</t>
  </si>
  <si>
    <t>Department</t>
  </si>
  <si>
    <t>Current_Count</t>
  </si>
  <si>
    <t>Human Resources</t>
  </si>
  <si>
    <t>Research &amp; Development</t>
  </si>
  <si>
    <t>Sales</t>
  </si>
  <si>
    <t>Other</t>
  </si>
  <si>
    <t>Total</t>
  </si>
  <si>
    <t>Constraint</t>
  </si>
  <si>
    <t>Description</t>
  </si>
  <si>
    <t>Total Leavers ≥ 40</t>
  </si>
  <si>
    <t>Total Salary Saved ≥ €3,000,000</t>
  </si>
  <si>
    <t>HR Retention Ratio ≤ 0.80</t>
  </si>
  <si>
    <t>R&amp;D Retention Ratio ≤ 0.80</t>
  </si>
  <si>
    <t>Sales Retention Ratio ≤ 0.80</t>
  </si>
  <si>
    <t>At least 40 employees must leave</t>
  </si>
  <si>
    <t>At least €3 million in annual salary savings</t>
  </si>
  <si>
    <t>No more than 80% of HR employees can be retained</t>
  </si>
  <si>
    <t>No more than 80% of R&amp;D employees can be retained</t>
  </si>
  <si>
    <t>No more than 80% of Sales employees can be retained</t>
  </si>
  <si>
    <t>Total RCC Cost</t>
  </si>
  <si>
    <t>Constraints</t>
  </si>
  <si>
    <t>Total Expected Leaver</t>
  </si>
  <si>
    <t>Total Expected Salary Saved</t>
  </si>
  <si>
    <t>Leavers by Department</t>
  </si>
  <si>
    <t>HR</t>
  </si>
  <si>
    <t>RND</t>
  </si>
  <si>
    <t>Objective Function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</si>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</sst>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9A4C6A-4E70-4C06-85DD-4D8A59763A87}">
  <we:reference id="wa104100404" version="3.0.0.1" store="en-US" storeType="OMEX"/>
  <we:alternateReferences>
    <we:reference id="wa104100404" version="3.0.0.1" store="wa104100404" storeType="OMEX"/>
  </we:alternateReferences>
  <we:properties>
    <we:property name="UniqueID" value="&quot;202539174415743422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zoomScale="82" workbookViewId="0">
      <selection activeCell="A10" sqref="A10:XFD10"/>
    </sheetView>
  </sheetViews>
  <sheetFormatPr defaultRowHeight="14.5" x14ac:dyDescent="0.35"/>
  <cols>
    <col min="1" max="1" width="24.08984375" bestFit="1" customWidth="1"/>
    <col min="2" max="2" width="52.1796875" bestFit="1" customWidth="1"/>
    <col min="3" max="3" width="20.54296875" bestFit="1" customWidth="1"/>
    <col min="4" max="4" width="22.36328125" bestFit="1" customWidth="1"/>
    <col min="5" max="5" width="19.26953125" bestFit="1" customWidth="1"/>
    <col min="6" max="6" width="20.54296875" bestFit="1" customWidth="1"/>
    <col min="7" max="7" width="15.81640625" bestFit="1" customWidth="1"/>
    <col min="8" max="8" width="22.7265625" bestFit="1" customWidth="1"/>
    <col min="9" max="9" width="18.6328125" bestFit="1" customWidth="1"/>
    <col min="10" max="10" width="24.90625" bestFit="1" customWidth="1"/>
    <col min="11" max="11" width="7.6328125" bestFit="1" customWidth="1"/>
    <col min="12" max="12" width="11.54296875" bestFit="1" customWidth="1"/>
    <col min="13" max="13" width="1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33</v>
      </c>
      <c r="C2">
        <v>22</v>
      </c>
      <c r="D2">
        <v>0.40322103223126388</v>
      </c>
      <c r="E2">
        <v>7155.545454545455</v>
      </c>
      <c r="F2">
        <v>157422</v>
      </c>
      <c r="G2">
        <v>8.8708627090878061</v>
      </c>
      <c r="H2">
        <v>761710.33603092039</v>
      </c>
      <c r="I2">
        <v>9.0909090909090917</v>
      </c>
      <c r="J2">
        <v>90.909090909090907</v>
      </c>
      <c r="K2">
        <v>0</v>
      </c>
      <c r="L2">
        <v>0</v>
      </c>
      <c r="M2">
        <v>190427.5840077301</v>
      </c>
    </row>
    <row r="3" spans="1:13" x14ac:dyDescent="0.35">
      <c r="A3" t="s">
        <v>14</v>
      </c>
      <c r="B3" t="s">
        <v>34</v>
      </c>
      <c r="C3">
        <v>87</v>
      </c>
      <c r="D3">
        <v>9.6691361159197103E-2</v>
      </c>
      <c r="E3">
        <v>7144.0804597701153</v>
      </c>
      <c r="F3">
        <v>621535</v>
      </c>
      <c r="G3">
        <v>8.4121484208501478</v>
      </c>
      <c r="H3">
        <v>721164.78189697885</v>
      </c>
      <c r="I3">
        <v>0</v>
      </c>
      <c r="J3">
        <v>97.701149425287355</v>
      </c>
      <c r="K3">
        <v>0</v>
      </c>
      <c r="L3">
        <v>0</v>
      </c>
      <c r="M3">
        <v>180291.19547424471</v>
      </c>
    </row>
    <row r="4" spans="1:13" x14ac:dyDescent="0.35">
      <c r="A4" t="s">
        <v>15</v>
      </c>
      <c r="B4" t="s">
        <v>35</v>
      </c>
      <c r="C4">
        <v>58</v>
      </c>
      <c r="D4">
        <v>0.1793330167730155</v>
      </c>
      <c r="E4">
        <v>4678.6379310344828</v>
      </c>
      <c r="F4">
        <v>271361</v>
      </c>
      <c r="G4">
        <v>10.4013149728349</v>
      </c>
      <c r="H4">
        <v>583967.84117450716</v>
      </c>
      <c r="I4">
        <v>0</v>
      </c>
      <c r="J4">
        <v>100</v>
      </c>
      <c r="K4">
        <v>0</v>
      </c>
      <c r="L4">
        <v>0</v>
      </c>
      <c r="M4">
        <v>145991.96029362679</v>
      </c>
    </row>
    <row r="5" spans="1:13" x14ac:dyDescent="0.35">
      <c r="A5" t="s">
        <v>16</v>
      </c>
      <c r="B5" t="s">
        <v>36</v>
      </c>
      <c r="C5">
        <v>13</v>
      </c>
      <c r="D5">
        <v>0.40661358154812521</v>
      </c>
      <c r="E5">
        <v>8716.461538461539</v>
      </c>
      <c r="F5">
        <v>113314</v>
      </c>
      <c r="G5">
        <v>5.2859765601256274</v>
      </c>
      <c r="H5">
        <v>552900.13655453105</v>
      </c>
      <c r="I5">
        <v>0</v>
      </c>
      <c r="J5">
        <v>0</v>
      </c>
      <c r="K5">
        <v>100</v>
      </c>
      <c r="L5">
        <v>0</v>
      </c>
      <c r="M5">
        <v>138225.03413863279</v>
      </c>
    </row>
    <row r="6" spans="1:13" x14ac:dyDescent="0.35">
      <c r="A6" t="s">
        <v>17</v>
      </c>
      <c r="B6" t="s">
        <v>37</v>
      </c>
      <c r="C6">
        <v>36</v>
      </c>
      <c r="D6">
        <v>0.2210462567319588</v>
      </c>
      <c r="E6">
        <v>5365.8055555555557</v>
      </c>
      <c r="F6">
        <v>193169</v>
      </c>
      <c r="G6">
        <v>7.9576652423505152</v>
      </c>
      <c r="H6">
        <v>512391.41239986877</v>
      </c>
      <c r="I6">
        <v>0</v>
      </c>
      <c r="J6">
        <v>100</v>
      </c>
      <c r="K6">
        <v>0</v>
      </c>
      <c r="L6">
        <v>1</v>
      </c>
      <c r="M6">
        <v>128097.85309996719</v>
      </c>
    </row>
    <row r="7" spans="1:13" x14ac:dyDescent="0.35">
      <c r="A7" t="s">
        <v>18</v>
      </c>
      <c r="B7" t="s">
        <v>38</v>
      </c>
      <c r="C7">
        <v>32</v>
      </c>
      <c r="D7">
        <v>0.15792718620085541</v>
      </c>
      <c r="E7">
        <v>8068.9375</v>
      </c>
      <c r="F7">
        <v>258206</v>
      </c>
      <c r="G7">
        <v>5.0536699584273741</v>
      </c>
      <c r="H7">
        <v>489332.964482137</v>
      </c>
      <c r="I7">
        <v>0</v>
      </c>
      <c r="J7">
        <v>100</v>
      </c>
      <c r="K7">
        <v>0</v>
      </c>
      <c r="L7">
        <v>1</v>
      </c>
      <c r="M7">
        <v>122333.24112053429</v>
      </c>
    </row>
    <row r="8" spans="1:13" x14ac:dyDescent="0.35">
      <c r="A8" t="s">
        <v>19</v>
      </c>
      <c r="B8" t="s">
        <v>39</v>
      </c>
      <c r="C8">
        <v>18</v>
      </c>
      <c r="D8">
        <v>0.24881014022062181</v>
      </c>
      <c r="E8">
        <v>8886.1666666666661</v>
      </c>
      <c r="F8">
        <v>159951</v>
      </c>
      <c r="G8">
        <v>4.4785825239711921</v>
      </c>
      <c r="H8">
        <v>477569.16886114411</v>
      </c>
      <c r="I8">
        <v>0</v>
      </c>
      <c r="J8">
        <v>0</v>
      </c>
      <c r="K8">
        <v>100</v>
      </c>
      <c r="L8">
        <v>0</v>
      </c>
      <c r="M8">
        <v>119392.292215286</v>
      </c>
    </row>
    <row r="9" spans="1:13" x14ac:dyDescent="0.35">
      <c r="A9" t="s">
        <v>20</v>
      </c>
      <c r="B9" t="s">
        <v>40</v>
      </c>
      <c r="C9">
        <v>21</v>
      </c>
      <c r="D9">
        <v>0.14298566086418041</v>
      </c>
      <c r="E9">
        <v>8683.1428571428569</v>
      </c>
      <c r="F9">
        <v>182346</v>
      </c>
      <c r="G9">
        <v>3.0026988781477888</v>
      </c>
      <c r="H9">
        <v>312874.35979127808</v>
      </c>
      <c r="I9">
        <v>9.5238095238095237</v>
      </c>
      <c r="J9">
        <v>85.714285714285708</v>
      </c>
      <c r="K9">
        <v>0</v>
      </c>
      <c r="L9">
        <v>0</v>
      </c>
      <c r="M9">
        <v>78218.589947819521</v>
      </c>
    </row>
    <row r="10" spans="1:13" x14ac:dyDescent="0.35">
      <c r="A10" t="s">
        <v>21</v>
      </c>
      <c r="B10" t="s">
        <v>41</v>
      </c>
      <c r="C10">
        <v>21</v>
      </c>
      <c r="D10">
        <v>0.21046801011230501</v>
      </c>
      <c r="E10">
        <v>5874.2857142857147</v>
      </c>
      <c r="F10">
        <v>123360</v>
      </c>
      <c r="G10">
        <v>4.4198282123584054</v>
      </c>
      <c r="H10">
        <v>311560.0047294473</v>
      </c>
      <c r="I10">
        <v>0</v>
      </c>
      <c r="J10">
        <v>0</v>
      </c>
      <c r="K10">
        <v>100</v>
      </c>
      <c r="L10">
        <v>1</v>
      </c>
      <c r="M10">
        <v>77890.001182361826</v>
      </c>
    </row>
    <row r="11" spans="1:13" x14ac:dyDescent="0.35">
      <c r="A11" t="s">
        <v>22</v>
      </c>
      <c r="B11" t="s">
        <v>42</v>
      </c>
      <c r="C11">
        <v>12</v>
      </c>
      <c r="D11">
        <v>0.26684690810789641</v>
      </c>
      <c r="E11">
        <v>7064.416666666667</v>
      </c>
      <c r="F11">
        <v>84773</v>
      </c>
      <c r="G11">
        <v>3.2021628972947571</v>
      </c>
      <c r="H11">
        <v>271456.95529236842</v>
      </c>
      <c r="I11">
        <v>0</v>
      </c>
      <c r="J11">
        <v>0</v>
      </c>
      <c r="K11">
        <v>100</v>
      </c>
      <c r="L11">
        <v>1</v>
      </c>
      <c r="M11">
        <v>67864.238823092106</v>
      </c>
    </row>
    <row r="12" spans="1:13" x14ac:dyDescent="0.35">
      <c r="A12" t="s">
        <v>23</v>
      </c>
      <c r="B12" t="s">
        <v>43</v>
      </c>
      <c r="C12">
        <v>12</v>
      </c>
      <c r="D12">
        <v>0.27468086955046361</v>
      </c>
      <c r="E12">
        <v>6674</v>
      </c>
      <c r="F12">
        <v>80088</v>
      </c>
      <c r="G12">
        <v>3.2961704346055631</v>
      </c>
      <c r="H12">
        <v>263983.69776669028</v>
      </c>
      <c r="I12">
        <v>0</v>
      </c>
      <c r="J12">
        <v>0</v>
      </c>
      <c r="K12">
        <v>100</v>
      </c>
      <c r="L12">
        <v>1</v>
      </c>
      <c r="M12">
        <v>65995.924441672585</v>
      </c>
    </row>
    <row r="13" spans="1:13" x14ac:dyDescent="0.35">
      <c r="A13" t="s">
        <v>24</v>
      </c>
      <c r="B13" t="s">
        <v>44</v>
      </c>
      <c r="C13">
        <v>12</v>
      </c>
      <c r="D13">
        <v>0.34368716962481721</v>
      </c>
      <c r="E13">
        <v>5263.166666666667</v>
      </c>
      <c r="F13">
        <v>63158</v>
      </c>
      <c r="G13">
        <v>4.1242460354978068</v>
      </c>
      <c r="H13">
        <v>260479.13110997051</v>
      </c>
      <c r="I13">
        <v>0</v>
      </c>
      <c r="J13">
        <v>100</v>
      </c>
      <c r="K13">
        <v>0</v>
      </c>
      <c r="L13">
        <v>1</v>
      </c>
      <c r="M13">
        <v>65119.782777492634</v>
      </c>
    </row>
    <row r="14" spans="1:13" x14ac:dyDescent="0.35">
      <c r="A14" t="s">
        <v>25</v>
      </c>
      <c r="B14" t="s">
        <v>45</v>
      </c>
      <c r="C14">
        <v>9</v>
      </c>
      <c r="D14">
        <v>0.4380177174631657</v>
      </c>
      <c r="E14">
        <v>5496.4444444444443</v>
      </c>
      <c r="F14">
        <v>49468</v>
      </c>
      <c r="G14">
        <v>3.9421594571684908</v>
      </c>
      <c r="H14">
        <v>260014.32536961461</v>
      </c>
      <c r="I14">
        <v>0</v>
      </c>
      <c r="J14">
        <v>100</v>
      </c>
      <c r="K14">
        <v>0</v>
      </c>
      <c r="L14">
        <v>1</v>
      </c>
      <c r="M14">
        <v>65003.581342403639</v>
      </c>
    </row>
    <row r="15" spans="1:13" x14ac:dyDescent="0.35">
      <c r="A15" t="s">
        <v>26</v>
      </c>
      <c r="B15" t="s">
        <v>46</v>
      </c>
      <c r="C15">
        <v>45</v>
      </c>
      <c r="D15">
        <v>6.2260423038490158E-2</v>
      </c>
      <c r="E15">
        <v>7052.2444444444454</v>
      </c>
      <c r="F15">
        <v>317351</v>
      </c>
      <c r="G15">
        <v>2.8017190367320568</v>
      </c>
      <c r="H15">
        <v>237100.89014025469</v>
      </c>
      <c r="I15">
        <v>0</v>
      </c>
      <c r="J15">
        <v>0</v>
      </c>
      <c r="K15">
        <v>100</v>
      </c>
      <c r="L15">
        <v>1</v>
      </c>
      <c r="M15">
        <v>59275.222535063673</v>
      </c>
    </row>
    <row r="16" spans="1:13" x14ac:dyDescent="0.35">
      <c r="A16" t="s">
        <v>27</v>
      </c>
      <c r="B16" t="s">
        <v>47</v>
      </c>
      <c r="C16">
        <v>8</v>
      </c>
      <c r="D16">
        <v>0.3533224810511939</v>
      </c>
      <c r="E16">
        <v>6283</v>
      </c>
      <c r="F16">
        <v>50264</v>
      </c>
      <c r="G16">
        <v>2.8265798484095508</v>
      </c>
      <c r="H16">
        <v>213112.8142506865</v>
      </c>
      <c r="I16">
        <v>0</v>
      </c>
      <c r="J16">
        <v>100</v>
      </c>
      <c r="K16">
        <v>0</v>
      </c>
      <c r="L16">
        <v>1</v>
      </c>
      <c r="M16">
        <v>53278.203562671632</v>
      </c>
    </row>
    <row r="17" spans="1:13" x14ac:dyDescent="0.35">
      <c r="A17" t="s">
        <v>28</v>
      </c>
      <c r="B17" t="s">
        <v>48</v>
      </c>
      <c r="C17">
        <v>9</v>
      </c>
      <c r="D17">
        <v>0.30599299415191189</v>
      </c>
      <c r="E17">
        <v>4725.8888888888887</v>
      </c>
      <c r="F17">
        <v>42533</v>
      </c>
      <c r="G17">
        <v>2.7539369473672068</v>
      </c>
      <c r="H17">
        <v>156177.60024315919</v>
      </c>
      <c r="I17">
        <v>0</v>
      </c>
      <c r="J17">
        <v>0</v>
      </c>
      <c r="K17">
        <v>100</v>
      </c>
      <c r="L17">
        <v>0</v>
      </c>
      <c r="M17">
        <v>39044.400060789812</v>
      </c>
    </row>
    <row r="18" spans="1:13" x14ac:dyDescent="0.35">
      <c r="A18" t="s">
        <v>29</v>
      </c>
      <c r="B18" t="s">
        <v>49</v>
      </c>
      <c r="C18">
        <v>5</v>
      </c>
      <c r="D18">
        <v>0.28354496113935512</v>
      </c>
      <c r="E18">
        <v>8098.6</v>
      </c>
      <c r="F18">
        <v>40493</v>
      </c>
      <c r="G18">
        <v>1.4177248056967759</v>
      </c>
      <c r="H18">
        <v>137779.03333699089</v>
      </c>
      <c r="I18">
        <v>0</v>
      </c>
      <c r="J18">
        <v>0</v>
      </c>
      <c r="K18">
        <v>100</v>
      </c>
      <c r="L18">
        <v>0</v>
      </c>
      <c r="M18">
        <v>34444.75833424773</v>
      </c>
    </row>
    <row r="19" spans="1:13" x14ac:dyDescent="0.35">
      <c r="A19" t="s">
        <v>30</v>
      </c>
      <c r="B19" t="s">
        <v>50</v>
      </c>
      <c r="C19">
        <v>7</v>
      </c>
      <c r="D19">
        <v>0.23996652331265539</v>
      </c>
      <c r="E19">
        <v>6512.1428571428569</v>
      </c>
      <c r="F19">
        <v>45585</v>
      </c>
      <c r="G19">
        <v>1.679765663188588</v>
      </c>
      <c r="H19">
        <v>131266.48758248871</v>
      </c>
      <c r="I19">
        <v>0</v>
      </c>
      <c r="J19">
        <v>100</v>
      </c>
      <c r="K19">
        <v>0</v>
      </c>
      <c r="L19">
        <v>1</v>
      </c>
      <c r="M19">
        <v>32816.621895622193</v>
      </c>
    </row>
    <row r="20" spans="1:13" x14ac:dyDescent="0.35">
      <c r="A20" t="s">
        <v>31</v>
      </c>
      <c r="B20" t="s">
        <v>51</v>
      </c>
      <c r="C20">
        <v>7</v>
      </c>
      <c r="D20">
        <v>0.29821706465310449</v>
      </c>
      <c r="E20">
        <v>4379.5714285714284</v>
      </c>
      <c r="F20">
        <v>30657</v>
      </c>
      <c r="G20">
        <v>2.087519452571732</v>
      </c>
      <c r="H20">
        <v>109709.2866128427</v>
      </c>
      <c r="I20">
        <v>100</v>
      </c>
      <c r="J20">
        <v>0</v>
      </c>
      <c r="K20">
        <v>0</v>
      </c>
      <c r="L20">
        <v>0</v>
      </c>
      <c r="M20">
        <v>27427.321653210671</v>
      </c>
    </row>
    <row r="21" spans="1:13" x14ac:dyDescent="0.35">
      <c r="A21" t="s">
        <v>32</v>
      </c>
      <c r="B21" t="s">
        <v>52</v>
      </c>
      <c r="C21">
        <v>7</v>
      </c>
      <c r="D21">
        <v>0.1189476498343192</v>
      </c>
      <c r="E21">
        <v>5347.7142857142853</v>
      </c>
      <c r="F21">
        <v>37434</v>
      </c>
      <c r="G21">
        <v>0.83263354884023466</v>
      </c>
      <c r="H21">
        <v>53432.23588677487</v>
      </c>
      <c r="I21">
        <v>100</v>
      </c>
      <c r="J21">
        <v>0</v>
      </c>
      <c r="K21">
        <v>0</v>
      </c>
      <c r="L21">
        <v>1</v>
      </c>
      <c r="M21">
        <v>13358.058971693719</v>
      </c>
    </row>
    <row r="22" spans="1:13" x14ac:dyDescent="0.35">
      <c r="C22">
        <f>SUM(C2:C21)</f>
        <v>441</v>
      </c>
    </row>
    <row r="25" spans="1:13" x14ac:dyDescent="0.35">
      <c r="A25" s="2" t="s">
        <v>79</v>
      </c>
    </row>
    <row r="26" spans="1:13" x14ac:dyDescent="0.35">
      <c r="A26" t="s">
        <v>72</v>
      </c>
      <c r="B26">
        <f>SUMPRODUCT(L2:L21, M2:M21)</f>
        <v>751032.72975257551</v>
      </c>
    </row>
    <row r="29" spans="1:13" x14ac:dyDescent="0.35">
      <c r="A29" s="2" t="s">
        <v>73</v>
      </c>
    </row>
    <row r="30" spans="1:13" x14ac:dyDescent="0.35">
      <c r="A30" t="s">
        <v>74</v>
      </c>
      <c r="B30">
        <f>SUMPRODUCT(L2:L21, G2:G21)</f>
        <v>40.136600334873343</v>
      </c>
    </row>
    <row r="31" spans="1:13" x14ac:dyDescent="0.35">
      <c r="A31" t="s">
        <v>75</v>
      </c>
      <c r="B31">
        <f>SUMPRODUCT(L2:L21, H2:H21)</f>
        <v>3004130.9190103016</v>
      </c>
    </row>
    <row r="32" spans="1:13" x14ac:dyDescent="0.35">
      <c r="A32" s="2" t="s">
        <v>76</v>
      </c>
    </row>
    <row r="33" spans="1:4" x14ac:dyDescent="0.35">
      <c r="A33" t="s">
        <v>77</v>
      </c>
      <c r="B33">
        <f>SUMIFS(G2:G21, B2:B21, "HR", H2:H21, 1)</f>
        <v>0</v>
      </c>
    </row>
    <row r="34" spans="1:4" x14ac:dyDescent="0.35">
      <c r="A34" t="s">
        <v>57</v>
      </c>
    </row>
    <row r="35" spans="1:4" x14ac:dyDescent="0.35">
      <c r="A35" t="s">
        <v>78</v>
      </c>
      <c r="B35">
        <f>SUMIFS(G2:G21, B2:B21, "R&amp;D", H2:H21, 1)</f>
        <v>0</v>
      </c>
    </row>
    <row r="36" spans="1:4" x14ac:dyDescent="0.35">
      <c r="A36" t="s">
        <v>80</v>
      </c>
    </row>
    <row r="39" spans="1:4" x14ac:dyDescent="0.35">
      <c r="C39" s="1" t="s">
        <v>53</v>
      </c>
      <c r="D39" s="1" t="s">
        <v>54</v>
      </c>
    </row>
    <row r="40" spans="1:4" x14ac:dyDescent="0.35">
      <c r="C40" t="s">
        <v>55</v>
      </c>
      <c r="D40">
        <v>18</v>
      </c>
    </row>
    <row r="41" spans="1:4" x14ac:dyDescent="0.35">
      <c r="C41" t="s">
        <v>56</v>
      </c>
      <c r="D41">
        <v>285</v>
      </c>
    </row>
    <row r="42" spans="1:4" x14ac:dyDescent="0.35">
      <c r="C42" t="s">
        <v>57</v>
      </c>
      <c r="D42">
        <v>135</v>
      </c>
    </row>
    <row r="43" spans="1:4" x14ac:dyDescent="0.35">
      <c r="C43" t="s">
        <v>58</v>
      </c>
      <c r="D43">
        <v>3</v>
      </c>
    </row>
    <row r="44" spans="1:4" x14ac:dyDescent="0.35">
      <c r="C44" t="s">
        <v>59</v>
      </c>
      <c r="D44">
        <v>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sqref="A1:B6"/>
    </sheetView>
  </sheetViews>
  <sheetFormatPr defaultRowHeight="14.5" x14ac:dyDescent="0.35"/>
  <cols>
    <col min="1" max="1" width="22.08984375" bestFit="1" customWidth="1"/>
    <col min="2" max="2" width="13.453125" bestFit="1" customWidth="1"/>
  </cols>
  <sheetData>
    <row r="1" spans="1:2" x14ac:dyDescent="0.35">
      <c r="A1" s="1" t="s">
        <v>53</v>
      </c>
      <c r="B1" s="1" t="s">
        <v>54</v>
      </c>
    </row>
    <row r="2" spans="1:2" x14ac:dyDescent="0.35">
      <c r="A2" t="s">
        <v>55</v>
      </c>
      <c r="B2">
        <v>18</v>
      </c>
    </row>
    <row r="3" spans="1:2" x14ac:dyDescent="0.35">
      <c r="A3" t="s">
        <v>56</v>
      </c>
      <c r="B3">
        <v>285</v>
      </c>
    </row>
    <row r="4" spans="1:2" x14ac:dyDescent="0.35">
      <c r="A4" t="s">
        <v>57</v>
      </c>
      <c r="B4">
        <v>135</v>
      </c>
    </row>
    <row r="5" spans="1:2" x14ac:dyDescent="0.35">
      <c r="A5" t="s">
        <v>58</v>
      </c>
      <c r="B5">
        <v>3</v>
      </c>
    </row>
    <row r="6" spans="1:2" x14ac:dyDescent="0.35">
      <c r="A6" t="s">
        <v>59</v>
      </c>
      <c r="B6">
        <v>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5" x14ac:dyDescent="0.35"/>
  <cols>
    <col min="1" max="1" width="27" bestFit="1" customWidth="1"/>
    <col min="2" max="2" width="46.7265625" bestFit="1" customWidth="1"/>
  </cols>
  <sheetData>
    <row r="1" spans="1:2" x14ac:dyDescent="0.35">
      <c r="A1" s="1" t="s">
        <v>60</v>
      </c>
      <c r="B1" s="1" t="s">
        <v>61</v>
      </c>
    </row>
    <row r="2" spans="1:2" x14ac:dyDescent="0.35">
      <c r="A2" t="s">
        <v>62</v>
      </c>
      <c r="B2" t="s">
        <v>67</v>
      </c>
    </row>
    <row r="3" spans="1:2" x14ac:dyDescent="0.35">
      <c r="A3" t="s">
        <v>63</v>
      </c>
      <c r="B3" t="s">
        <v>68</v>
      </c>
    </row>
    <row r="4" spans="1:2" x14ac:dyDescent="0.35">
      <c r="A4" t="s">
        <v>64</v>
      </c>
      <c r="B4" t="s">
        <v>69</v>
      </c>
    </row>
    <row r="5" spans="1:2" x14ac:dyDescent="0.35">
      <c r="A5" t="s">
        <v>65</v>
      </c>
      <c r="B5" t="s">
        <v>70</v>
      </c>
    </row>
    <row r="6" spans="1:2" x14ac:dyDescent="0.35">
      <c r="A6" t="s">
        <v>66</v>
      </c>
      <c r="B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Groups</vt:lpstr>
      <vt:lpstr>Departments</vt:lpstr>
      <vt:lpstr>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Tithi Jain</cp:lastModifiedBy>
  <dcterms:created xsi:type="dcterms:W3CDTF">2025-04-08T22:54:13Z</dcterms:created>
  <dcterms:modified xsi:type="dcterms:W3CDTF">2025-04-09T09:57:20Z</dcterms:modified>
</cp:coreProperties>
</file>